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>
    <definedName name="SalaryData">Data!$I$2:$I$37</definedName>
    <definedName name="DeptData">Data!$B$2:$B$37</definedName>
    <definedName name="LocData">Data!$D$2:$D$37</definedName>
    <definedName name="ExpData">Data!$E$2:$E$37</definedName>
    <definedName name="EmpData">Data!$F$2:$F$37</definedName>
    <definedName name="GenderData">Data!$G$2:$G$37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FFFFFF"/>
      <sz val="20"/>
    </font>
    <font>
      <name val="Calibri"/>
      <color rgb="006B7480"/>
      <sz val="10"/>
    </font>
    <font>
      <name val="Calibri"/>
      <b val="1"/>
      <color rgb="00FFFFFF"/>
      <sz val="10"/>
    </font>
    <font>
      <name val="Calibri"/>
      <b val="1"/>
      <color rgb="001F3A5F"/>
      <sz val="18"/>
    </font>
    <font>
      <name val="Calibri"/>
      <b val="1"/>
      <color rgb="001F3A5F"/>
      <sz val="12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7FA"/>
      </patternFill>
    </fill>
    <fill>
      <patternFill patternType="solid">
        <fgColor rgb="002E5E8C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0" fillId="4" borderId="0" pivotButton="0" quotePrefix="0" xfId="0"/>
    <xf numFmtId="3" fontId="6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7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3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Salary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'Dashboard'!$B$11:$B$16</f>
            </numRef>
          </cat>
          <val>
            <numRef>
              <f>'Dashboard'!$D$11:$D$16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Headcount by 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'Dashboard'!$B$21:$B$25</f>
            </numRef>
          </cat>
          <val>
            <numRef>
              <f>'Dashboard'!$C$21:$C$25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Salary by Experience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'Dashboard'!$F$11:$F$14</f>
            </numRef>
          </cat>
          <val>
            <numRef>
              <f>'Dashboard'!$H$11:$H$14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 Split</a:t>
            </a:r>
          </a:p>
        </rich>
      </tx>
    </title>
    <plotArea>
      <pieChart>
        <varyColors val="1"/>
        <ser>
          <idx val="0"/>
          <order val="0"/>
          <tx>
            <strRef>
              <f>'Dashboard'!G18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'Dashboard'!$F$19:$F$21</f>
            </numRef>
          </cat>
          <val>
            <numRef>
              <f>'Dashboard'!$G$19:$G$21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Employment Type</a:t>
            </a:r>
          </a:p>
        </rich>
      </tx>
    </title>
    <plotArea>
      <pieChart>
        <varyColors val="1"/>
        <ser>
          <idx val="0"/>
          <order val="0"/>
          <tx>
            <strRef>
              <f>'Dashboard'!J18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'Dashboard'!$I$19:$I$21</f>
            </numRef>
          </cat>
          <val>
            <numRef>
              <f>'Dashboard'!$J$19:$J$21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27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42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42</row>
      <rowOff>0</rowOff>
    </from>
    <ext cx="28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9</col>
      <colOff>0</colOff>
      <row>42</row>
      <rowOff>0</rowOff>
    </from>
    <ext cx="288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2" customWidth="1" min="4" max="4"/>
    <col width="15" customWidth="1" min="5" max="5"/>
    <col width="16" customWidth="1" min="6" max="6"/>
    <col width="12" customWidth="1" min="7" max="7"/>
    <col width="14" customWidth="1" min="8" max="8"/>
    <col width="12" customWidth="1" min="9" max="9"/>
  </cols>
  <sheetData>
    <row r="1" ht="24" customHeight="1">
      <c r="A1" s="1" t="inlineStr">
        <is>
          <t>Name</t>
        </is>
      </c>
      <c r="B1" s="1" t="inlineStr">
        <is>
          <t>Department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Experience (Yrs)</t>
        </is>
      </c>
      <c r="F1" s="1" t="inlineStr">
        <is>
          <t>Employment Type</t>
        </is>
      </c>
      <c r="G1" s="1" t="inlineStr">
        <is>
          <t>Gender</t>
        </is>
      </c>
      <c r="H1" s="1" t="inlineStr">
        <is>
          <t>Joining Date</t>
        </is>
      </c>
      <c r="I1" s="1" t="inlineStr">
        <is>
          <t>Salary</t>
        </is>
      </c>
    </row>
    <row r="2">
      <c r="A2" s="2" t="inlineStr">
        <is>
          <t>Aisha Khan</t>
        </is>
      </c>
      <c r="B2" s="2" t="inlineStr">
        <is>
          <t>Engineering</t>
        </is>
      </c>
      <c r="C2" s="2" t="inlineStr">
        <is>
          <t>Senior Engineer</t>
        </is>
      </c>
      <c r="D2" s="2" t="inlineStr">
        <is>
          <t>Bangalore</t>
        </is>
      </c>
      <c r="E2" s="3" t="n">
        <v>7</v>
      </c>
      <c r="F2" s="2" t="inlineStr">
        <is>
          <t>Full-time</t>
        </is>
      </c>
      <c r="G2" s="2" t="inlineStr">
        <is>
          <t>Female</t>
        </is>
      </c>
      <c r="H2" s="2" t="inlineStr">
        <is>
          <t>12-01-2022</t>
        </is>
      </c>
      <c r="I2" s="4" t="n">
        <v>118000</v>
      </c>
    </row>
    <row r="3">
      <c r="A3" s="5" t="inlineStr">
        <is>
          <t>Ben Torres</t>
        </is>
      </c>
      <c r="B3" s="5" t="inlineStr">
        <is>
          <t>Sales</t>
        </is>
      </c>
      <c r="C3" s="5" t="inlineStr">
        <is>
          <t>Account Executive</t>
        </is>
      </c>
      <c r="D3" s="5" t="inlineStr">
        <is>
          <t>Mumbai</t>
        </is>
      </c>
      <c r="E3" s="6" t="n">
        <v>4</v>
      </c>
      <c r="F3" s="5" t="inlineStr">
        <is>
          <t>Full-time</t>
        </is>
      </c>
      <c r="G3" s="5" t="inlineStr">
        <is>
          <t>Male</t>
        </is>
      </c>
      <c r="H3" s="5" t="inlineStr">
        <is>
          <t>23-03-2023</t>
        </is>
      </c>
      <c r="I3" s="7" t="n">
        <v>84500</v>
      </c>
    </row>
    <row r="4">
      <c r="A4" s="2" t="inlineStr">
        <is>
          <t>Chen Wei</t>
        </is>
      </c>
      <c r="B4" s="2" t="inlineStr">
        <is>
          <t>Engineering</t>
        </is>
      </c>
      <c r="C4" s="2" t="inlineStr">
        <is>
          <t>Staff Engineer</t>
        </is>
      </c>
      <c r="D4" s="2" t="inlineStr">
        <is>
          <t>Remote</t>
        </is>
      </c>
      <c r="E4" s="3" t="n">
        <v>10</v>
      </c>
      <c r="F4" s="2" t="inlineStr">
        <is>
          <t>Full-time</t>
        </is>
      </c>
      <c r="G4" s="2" t="inlineStr">
        <is>
          <t>Male</t>
        </is>
      </c>
      <c r="H4" s="2" t="inlineStr">
        <is>
          <t>05-02-2020</t>
        </is>
      </c>
      <c r="I4" s="4" t="n">
        <v>152000</v>
      </c>
    </row>
    <row r="5">
      <c r="A5" s="5" t="inlineStr">
        <is>
          <t>Diya Patel</t>
        </is>
      </c>
      <c r="B5" s="5" t="inlineStr">
        <is>
          <t>Marketing</t>
        </is>
      </c>
      <c r="C5" s="5" t="inlineStr">
        <is>
          <t>Content Lead</t>
        </is>
      </c>
      <c r="D5" s="5" t="inlineStr">
        <is>
          <t>Delhi</t>
        </is>
      </c>
      <c r="E5" s="6" t="n">
        <v>5</v>
      </c>
      <c r="F5" s="5" t="inlineStr">
        <is>
          <t>Full-time</t>
        </is>
      </c>
      <c r="G5" s="5" t="inlineStr">
        <is>
          <t>Female</t>
        </is>
      </c>
      <c r="H5" s="5" t="inlineStr">
        <is>
          <t>18-06-2022</t>
        </is>
      </c>
      <c r="I5" s="7" t="n">
        <v>78000</v>
      </c>
    </row>
    <row r="6">
      <c r="A6" s="2" t="inlineStr">
        <is>
          <t>Ethan Brooks</t>
        </is>
      </c>
      <c r="B6" s="2" t="inlineStr">
        <is>
          <t>Product</t>
        </is>
      </c>
      <c r="C6" s="2" t="inlineStr">
        <is>
          <t>Product Manager</t>
        </is>
      </c>
      <c r="D6" s="2" t="inlineStr">
        <is>
          <t>Bangalore</t>
        </is>
      </c>
      <c r="E6" s="3" t="n">
        <v>6</v>
      </c>
      <c r="F6" s="2" t="inlineStr">
        <is>
          <t>Full-time</t>
        </is>
      </c>
      <c r="G6" s="2" t="inlineStr">
        <is>
          <t>Male</t>
        </is>
      </c>
      <c r="H6" s="2" t="inlineStr">
        <is>
          <t>02-09-2021</t>
        </is>
      </c>
      <c r="I6" s="4" t="n">
        <v>112000</v>
      </c>
    </row>
    <row r="7">
      <c r="A7" s="5" t="inlineStr">
        <is>
          <t>Farah Nasser</t>
        </is>
      </c>
      <c r="B7" s="5" t="inlineStr">
        <is>
          <t>Design</t>
        </is>
      </c>
      <c r="C7" s="5" t="inlineStr">
        <is>
          <t>Product Designer</t>
        </is>
      </c>
      <c r="D7" s="5" t="inlineStr">
        <is>
          <t>Pune</t>
        </is>
      </c>
      <c r="E7" s="6" t="n">
        <v>3</v>
      </c>
      <c r="F7" s="5" t="inlineStr">
        <is>
          <t>Full-time</t>
        </is>
      </c>
      <c r="G7" s="5" t="inlineStr">
        <is>
          <t>Female</t>
        </is>
      </c>
      <c r="H7" s="5" t="inlineStr">
        <is>
          <t>14-11-2023</t>
        </is>
      </c>
      <c r="I7" s="7" t="n">
        <v>72000</v>
      </c>
    </row>
    <row r="8">
      <c r="A8" s="2" t="inlineStr">
        <is>
          <t>Grace Lin</t>
        </is>
      </c>
      <c r="B8" s="2" t="inlineStr">
        <is>
          <t>Engineering</t>
        </is>
      </c>
      <c r="C8" s="2" t="inlineStr">
        <is>
          <t>Engineering Manager</t>
        </is>
      </c>
      <c r="D8" s="2" t="inlineStr">
        <is>
          <t>Remote</t>
        </is>
      </c>
      <c r="E8" s="3" t="n">
        <v>11</v>
      </c>
      <c r="F8" s="2" t="inlineStr">
        <is>
          <t>Full-time</t>
        </is>
      </c>
      <c r="G8" s="2" t="inlineStr">
        <is>
          <t>Female</t>
        </is>
      </c>
      <c r="H8" s="2" t="inlineStr">
        <is>
          <t>27-04-2019</t>
        </is>
      </c>
      <c r="I8" s="4" t="n">
        <v>168000</v>
      </c>
    </row>
    <row r="9">
      <c r="A9" s="5" t="inlineStr">
        <is>
          <t>Hassan Ali</t>
        </is>
      </c>
      <c r="B9" s="5" t="inlineStr">
        <is>
          <t>Operations</t>
        </is>
      </c>
      <c r="C9" s="5" t="inlineStr">
        <is>
          <t>Ops Analyst</t>
        </is>
      </c>
      <c r="D9" s="5" t="inlineStr">
        <is>
          <t>Delhi</t>
        </is>
      </c>
      <c r="E9" s="6" t="n">
        <v>2</v>
      </c>
      <c r="F9" s="5" t="inlineStr">
        <is>
          <t>Full-time</t>
        </is>
      </c>
      <c r="G9" s="5" t="inlineStr">
        <is>
          <t>Male</t>
        </is>
      </c>
      <c r="H9" s="5" t="inlineStr">
        <is>
          <t>09-01-2024</t>
        </is>
      </c>
      <c r="I9" s="7" t="n">
        <v>56000</v>
      </c>
    </row>
    <row r="10">
      <c r="A10" s="2" t="inlineStr">
        <is>
          <t>Ivy Nguyen</t>
        </is>
      </c>
      <c r="B10" s="2" t="inlineStr">
        <is>
          <t>Product</t>
        </is>
      </c>
      <c r="C10" s="2" t="inlineStr">
        <is>
          <t>Senior PM</t>
        </is>
      </c>
      <c r="D10" s="2" t="inlineStr">
        <is>
          <t>Mumbai</t>
        </is>
      </c>
      <c r="E10" s="3" t="n">
        <v>8</v>
      </c>
      <c r="F10" s="2" t="inlineStr">
        <is>
          <t>Full-time</t>
        </is>
      </c>
      <c r="G10" s="2" t="inlineStr">
        <is>
          <t>Female</t>
        </is>
      </c>
      <c r="H10" s="2" t="inlineStr">
        <is>
          <t>21-07-2020</t>
        </is>
      </c>
      <c r="I10" s="4" t="n">
        <v>134000</v>
      </c>
    </row>
    <row r="11">
      <c r="A11" s="5" t="inlineStr">
        <is>
          <t>Jack Owens</t>
        </is>
      </c>
      <c r="B11" s="5" t="inlineStr">
        <is>
          <t>Sales</t>
        </is>
      </c>
      <c r="C11" s="5" t="inlineStr">
        <is>
          <t>SDR</t>
        </is>
      </c>
      <c r="D11" s="5" t="inlineStr">
        <is>
          <t>Bangalore</t>
        </is>
      </c>
      <c r="E11" s="6" t="n">
        <v>1</v>
      </c>
      <c r="F11" s="5" t="inlineStr">
        <is>
          <t>Full-time</t>
        </is>
      </c>
      <c r="G11" s="5" t="inlineStr">
        <is>
          <t>Male</t>
        </is>
      </c>
      <c r="H11" s="5" t="inlineStr">
        <is>
          <t>03-02-2025</t>
        </is>
      </c>
      <c r="I11" s="7" t="n">
        <v>48000</v>
      </c>
    </row>
    <row r="12">
      <c r="A12" s="2" t="inlineStr">
        <is>
          <t>Kavya Reddy</t>
        </is>
      </c>
      <c r="B12" s="2" t="inlineStr">
        <is>
          <t>Engineering</t>
        </is>
      </c>
      <c r="C12" s="2" t="inlineStr">
        <is>
          <t>Backend Engineer</t>
        </is>
      </c>
      <c r="D12" s="2" t="inlineStr">
        <is>
          <t>Bangalore</t>
        </is>
      </c>
      <c r="E12" s="3" t="n">
        <v>4</v>
      </c>
      <c r="F12" s="2" t="inlineStr">
        <is>
          <t>Full-time</t>
        </is>
      </c>
      <c r="G12" s="2" t="inlineStr">
        <is>
          <t>Female</t>
        </is>
      </c>
      <c r="H12" s="2" t="inlineStr">
        <is>
          <t>16-05-2023</t>
        </is>
      </c>
      <c r="I12" s="4" t="n">
        <v>92000</v>
      </c>
    </row>
    <row r="13">
      <c r="A13" s="5" t="inlineStr">
        <is>
          <t>Liam Scott</t>
        </is>
      </c>
      <c r="B13" s="5" t="inlineStr">
        <is>
          <t>Marketing</t>
        </is>
      </c>
      <c r="C13" s="5" t="inlineStr">
        <is>
          <t>Growth Marketer</t>
        </is>
      </c>
      <c r="D13" s="5" t="inlineStr">
        <is>
          <t>Remote</t>
        </is>
      </c>
      <c r="E13" s="6" t="n">
        <v>6</v>
      </c>
      <c r="F13" s="5" t="inlineStr">
        <is>
          <t>Contract</t>
        </is>
      </c>
      <c r="G13" s="5" t="inlineStr">
        <is>
          <t>Male</t>
        </is>
      </c>
      <c r="H13" s="5" t="inlineStr">
        <is>
          <t>28-08-2021</t>
        </is>
      </c>
      <c r="I13" s="7" t="n">
        <v>88000</v>
      </c>
    </row>
    <row r="14">
      <c r="A14" s="2" t="inlineStr">
        <is>
          <t>Maya Singh</t>
        </is>
      </c>
      <c r="B14" s="2" t="inlineStr">
        <is>
          <t>Design</t>
        </is>
      </c>
      <c r="C14" s="2" t="inlineStr">
        <is>
          <t>Design Lead</t>
        </is>
      </c>
      <c r="D14" s="2" t="inlineStr">
        <is>
          <t>Delhi</t>
        </is>
      </c>
      <c r="E14" s="3" t="n">
        <v>9</v>
      </c>
      <c r="F14" s="2" t="inlineStr">
        <is>
          <t>Full-time</t>
        </is>
      </c>
      <c r="G14" s="2" t="inlineStr">
        <is>
          <t>Female</t>
        </is>
      </c>
      <c r="H14" s="2" t="inlineStr">
        <is>
          <t>11-03-2020</t>
        </is>
      </c>
      <c r="I14" s="4" t="n">
        <v>128000</v>
      </c>
    </row>
    <row r="15">
      <c r="A15" s="5" t="inlineStr">
        <is>
          <t>Noah Clark</t>
        </is>
      </c>
      <c r="B15" s="5" t="inlineStr">
        <is>
          <t>Engineering</t>
        </is>
      </c>
      <c r="C15" s="5" t="inlineStr">
        <is>
          <t>Frontend Engineer</t>
        </is>
      </c>
      <c r="D15" s="5" t="inlineStr">
        <is>
          <t>Pune</t>
        </is>
      </c>
      <c r="E15" s="6" t="n">
        <v>3</v>
      </c>
      <c r="F15" s="5" t="inlineStr">
        <is>
          <t>Full-time</t>
        </is>
      </c>
      <c r="G15" s="5" t="inlineStr">
        <is>
          <t>Male</t>
        </is>
      </c>
      <c r="H15" s="5" t="inlineStr">
        <is>
          <t>24-10-2023</t>
        </is>
      </c>
      <c r="I15" s="7" t="n">
        <v>86000</v>
      </c>
    </row>
    <row r="16">
      <c r="A16" s="2" t="inlineStr">
        <is>
          <t>Omar Farooq</t>
        </is>
      </c>
      <c r="B16" s="2" t="inlineStr">
        <is>
          <t>Operations</t>
        </is>
      </c>
      <c r="C16" s="2" t="inlineStr">
        <is>
          <t>Ops Manager</t>
        </is>
      </c>
      <c r="D16" s="2" t="inlineStr">
        <is>
          <t>Mumbai</t>
        </is>
      </c>
      <c r="E16" s="3" t="n">
        <v>8</v>
      </c>
      <c r="F16" s="2" t="inlineStr">
        <is>
          <t>Full-time</t>
        </is>
      </c>
      <c r="G16" s="2" t="inlineStr">
        <is>
          <t>Male</t>
        </is>
      </c>
      <c r="H16" s="2" t="inlineStr">
        <is>
          <t>07-06-2020</t>
        </is>
      </c>
      <c r="I16" s="4" t="n">
        <v>108000</v>
      </c>
    </row>
    <row r="17">
      <c r="A17" s="5" t="inlineStr">
        <is>
          <t>Priya Nair</t>
        </is>
      </c>
      <c r="B17" s="5" t="inlineStr">
        <is>
          <t>Product</t>
        </is>
      </c>
      <c r="C17" s="5" t="inlineStr">
        <is>
          <t>Product Manager</t>
        </is>
      </c>
      <c r="D17" s="5" t="inlineStr">
        <is>
          <t>Bangalore</t>
        </is>
      </c>
      <c r="E17" s="6" t="n">
        <v>5</v>
      </c>
      <c r="F17" s="5" t="inlineStr">
        <is>
          <t>Full-time</t>
        </is>
      </c>
      <c r="G17" s="5" t="inlineStr">
        <is>
          <t>Female</t>
        </is>
      </c>
      <c r="H17" s="5" t="inlineStr">
        <is>
          <t>19-09-2022</t>
        </is>
      </c>
      <c r="I17" s="7" t="n">
        <v>106000</v>
      </c>
    </row>
    <row r="18">
      <c r="A18" s="2" t="inlineStr">
        <is>
          <t>Quinn Davis</t>
        </is>
      </c>
      <c r="B18" s="2" t="inlineStr">
        <is>
          <t>Sales</t>
        </is>
      </c>
      <c r="C18" s="2" t="inlineStr">
        <is>
          <t>Account Executive</t>
        </is>
      </c>
      <c r="D18" s="2" t="inlineStr">
        <is>
          <t>Remote</t>
        </is>
      </c>
      <c r="E18" s="3" t="n">
        <v>5</v>
      </c>
      <c r="F18" s="2" t="inlineStr">
        <is>
          <t>Full-time</t>
        </is>
      </c>
      <c r="G18" s="2" t="inlineStr">
        <is>
          <t>Other</t>
        </is>
      </c>
      <c r="H18" s="2" t="inlineStr">
        <is>
          <t>31-01-2022</t>
        </is>
      </c>
      <c r="I18" s="4" t="n">
        <v>90000</v>
      </c>
    </row>
    <row r="19">
      <c r="A19" s="5" t="inlineStr">
        <is>
          <t>Riya Kapoor</t>
        </is>
      </c>
      <c r="B19" s="5" t="inlineStr">
        <is>
          <t>Engineering</t>
        </is>
      </c>
      <c r="C19" s="5" t="inlineStr">
        <is>
          <t>Senior Engineer</t>
        </is>
      </c>
      <c r="D19" s="5" t="inlineStr">
        <is>
          <t>Mumbai</t>
        </is>
      </c>
      <c r="E19" s="6" t="n">
        <v>7</v>
      </c>
      <c r="F19" s="5" t="inlineStr">
        <is>
          <t>Full-time</t>
        </is>
      </c>
      <c r="G19" s="5" t="inlineStr">
        <is>
          <t>Female</t>
        </is>
      </c>
      <c r="H19" s="5" t="inlineStr">
        <is>
          <t>13-04-2021</t>
        </is>
      </c>
      <c r="I19" s="7" t="n">
        <v>122000</v>
      </c>
    </row>
    <row r="20">
      <c r="A20" s="2" t="inlineStr">
        <is>
          <t>Sam Nolan</t>
        </is>
      </c>
      <c r="B20" s="2" t="inlineStr">
        <is>
          <t>Marketing</t>
        </is>
      </c>
      <c r="C20" s="2" t="inlineStr">
        <is>
          <t>Marketing Analyst</t>
        </is>
      </c>
      <c r="D20" s="2" t="inlineStr">
        <is>
          <t>Delhi</t>
        </is>
      </c>
      <c r="E20" s="3" t="n">
        <v>2</v>
      </c>
      <c r="F20" s="2" t="inlineStr">
        <is>
          <t>Part-time</t>
        </is>
      </c>
      <c r="G20" s="2" t="inlineStr">
        <is>
          <t>Male</t>
        </is>
      </c>
      <c r="H20" s="2" t="inlineStr">
        <is>
          <t>26-11-2024</t>
        </is>
      </c>
      <c r="I20" s="4" t="n">
        <v>44000</v>
      </c>
    </row>
    <row r="21">
      <c r="A21" s="5" t="inlineStr">
        <is>
          <t>Tara Menon</t>
        </is>
      </c>
      <c r="B21" s="5" t="inlineStr">
        <is>
          <t>Design</t>
        </is>
      </c>
      <c r="C21" s="5" t="inlineStr">
        <is>
          <t>Product Designer</t>
        </is>
      </c>
      <c r="D21" s="5" t="inlineStr">
        <is>
          <t>Bangalore</t>
        </is>
      </c>
      <c r="E21" s="6" t="n">
        <v>4</v>
      </c>
      <c r="F21" s="5" t="inlineStr">
        <is>
          <t>Full-time</t>
        </is>
      </c>
      <c r="G21" s="5" t="inlineStr">
        <is>
          <t>Female</t>
        </is>
      </c>
      <c r="H21" s="5" t="inlineStr">
        <is>
          <t>08-07-2023</t>
        </is>
      </c>
      <c r="I21" s="7" t="n">
        <v>80000</v>
      </c>
    </row>
    <row r="22">
      <c r="A22" s="2" t="inlineStr">
        <is>
          <t>Umar Sheikh</t>
        </is>
      </c>
      <c r="B22" s="2" t="inlineStr">
        <is>
          <t>Engineering</t>
        </is>
      </c>
      <c r="C22" s="2" t="inlineStr">
        <is>
          <t>DevOps Engineer</t>
        </is>
      </c>
      <c r="D22" s="2" t="inlineStr">
        <is>
          <t>Remote</t>
        </is>
      </c>
      <c r="E22" s="3" t="n">
        <v>6</v>
      </c>
      <c r="F22" s="2" t="inlineStr">
        <is>
          <t>Full-time</t>
        </is>
      </c>
      <c r="G22" s="2" t="inlineStr">
        <is>
          <t>Male</t>
        </is>
      </c>
      <c r="H22" s="2" t="inlineStr">
        <is>
          <t>20-02-2022</t>
        </is>
      </c>
      <c r="I22" s="4" t="n">
        <v>104000</v>
      </c>
    </row>
    <row r="23">
      <c r="A23" s="5" t="inlineStr">
        <is>
          <t>Vera Popov</t>
        </is>
      </c>
      <c r="B23" s="5" t="inlineStr">
        <is>
          <t>Product</t>
        </is>
      </c>
      <c r="C23" s="5" t="inlineStr">
        <is>
          <t>Group PM</t>
        </is>
      </c>
      <c r="D23" s="5" t="inlineStr">
        <is>
          <t>Mumbai</t>
        </is>
      </c>
      <c r="E23" s="6" t="n">
        <v>12</v>
      </c>
      <c r="F23" s="5" t="inlineStr">
        <is>
          <t>Full-time</t>
        </is>
      </c>
      <c r="G23" s="5" t="inlineStr">
        <is>
          <t>Female</t>
        </is>
      </c>
      <c r="H23" s="5" t="inlineStr">
        <is>
          <t>02-05-2018</t>
        </is>
      </c>
      <c r="I23" s="7" t="n">
        <v>176000</v>
      </c>
    </row>
    <row r="24">
      <c r="A24" s="2" t="inlineStr">
        <is>
          <t>Will Baker</t>
        </is>
      </c>
      <c r="B24" s="2" t="inlineStr">
        <is>
          <t>Sales</t>
        </is>
      </c>
      <c r="C24" s="2" t="inlineStr">
        <is>
          <t>Sales Manager</t>
        </is>
      </c>
      <c r="D24" s="2" t="inlineStr">
        <is>
          <t>Delhi</t>
        </is>
      </c>
      <c r="E24" s="3" t="n">
        <v>9</v>
      </c>
      <c r="F24" s="2" t="inlineStr">
        <is>
          <t>Full-time</t>
        </is>
      </c>
      <c r="G24" s="2" t="inlineStr">
        <is>
          <t>Male</t>
        </is>
      </c>
      <c r="H24" s="2" t="inlineStr">
        <is>
          <t>15-08-2019</t>
        </is>
      </c>
      <c r="I24" s="4" t="n">
        <v>142000</v>
      </c>
    </row>
    <row r="25">
      <c r="A25" s="5" t="inlineStr">
        <is>
          <t>Xin Zhao</t>
        </is>
      </c>
      <c r="B25" s="5" t="inlineStr">
        <is>
          <t>Engineering</t>
        </is>
      </c>
      <c r="C25" s="5" t="inlineStr">
        <is>
          <t>ML Engineer</t>
        </is>
      </c>
      <c r="D25" s="5" t="inlineStr">
        <is>
          <t>Bangalore</t>
        </is>
      </c>
      <c r="E25" s="6" t="n">
        <v>5</v>
      </c>
      <c r="F25" s="5" t="inlineStr">
        <is>
          <t>Full-time</t>
        </is>
      </c>
      <c r="G25" s="5" t="inlineStr">
        <is>
          <t>Other</t>
        </is>
      </c>
      <c r="H25" s="5" t="inlineStr">
        <is>
          <t>27-03-2022</t>
        </is>
      </c>
      <c r="I25" s="7" t="n">
        <v>126000</v>
      </c>
    </row>
    <row r="26">
      <c r="A26" s="2" t="inlineStr">
        <is>
          <t>Yara Haddad</t>
        </is>
      </c>
      <c r="B26" s="2" t="inlineStr">
        <is>
          <t>Operations</t>
        </is>
      </c>
      <c r="C26" s="2" t="inlineStr">
        <is>
          <t>Ops Analyst</t>
        </is>
      </c>
      <c r="D26" s="2" t="inlineStr">
        <is>
          <t>Pune</t>
        </is>
      </c>
      <c r="E26" s="3" t="n">
        <v>3</v>
      </c>
      <c r="F26" s="2" t="inlineStr">
        <is>
          <t>Contract</t>
        </is>
      </c>
      <c r="G26" s="2" t="inlineStr">
        <is>
          <t>Female</t>
        </is>
      </c>
      <c r="H26" s="2" t="inlineStr">
        <is>
          <t>10-12-2023</t>
        </is>
      </c>
      <c r="I26" s="4" t="n">
        <v>58000</v>
      </c>
    </row>
    <row r="27">
      <c r="A27" s="5" t="inlineStr">
        <is>
          <t>Zane Cooper</t>
        </is>
      </c>
      <c r="B27" s="5" t="inlineStr">
        <is>
          <t>Marketing</t>
        </is>
      </c>
      <c r="C27" s="5" t="inlineStr">
        <is>
          <t>Brand Lead</t>
        </is>
      </c>
      <c r="D27" s="5" t="inlineStr">
        <is>
          <t>Remote</t>
        </is>
      </c>
      <c r="E27" s="6" t="n">
        <v>8</v>
      </c>
      <c r="F27" s="5" t="inlineStr">
        <is>
          <t>Full-time</t>
        </is>
      </c>
      <c r="G27" s="5" t="inlineStr">
        <is>
          <t>Male</t>
        </is>
      </c>
      <c r="H27" s="5" t="inlineStr">
        <is>
          <t>23-06-2020</t>
        </is>
      </c>
      <c r="I27" s="7" t="n">
        <v>110000</v>
      </c>
    </row>
    <row r="28">
      <c r="A28" s="2" t="inlineStr">
        <is>
          <t>Anaya Bose</t>
        </is>
      </c>
      <c r="B28" s="2" t="inlineStr">
        <is>
          <t>Engineering</t>
        </is>
      </c>
      <c r="C28" s="2" t="inlineStr">
        <is>
          <t>Backend Engineer</t>
        </is>
      </c>
      <c r="D28" s="2" t="inlineStr">
        <is>
          <t>Mumbai</t>
        </is>
      </c>
      <c r="E28" s="3" t="n">
        <v>4</v>
      </c>
      <c r="F28" s="2" t="inlineStr">
        <is>
          <t>Full-time</t>
        </is>
      </c>
      <c r="G28" s="2" t="inlineStr">
        <is>
          <t>Female</t>
        </is>
      </c>
      <c r="H28" s="2" t="inlineStr">
        <is>
          <t>05-01-2023</t>
        </is>
      </c>
      <c r="I28" s="4" t="n">
        <v>94000</v>
      </c>
    </row>
    <row r="29">
      <c r="A29" s="5" t="inlineStr">
        <is>
          <t>Boris Ivanov</t>
        </is>
      </c>
      <c r="B29" s="5" t="inlineStr">
        <is>
          <t>Product</t>
        </is>
      </c>
      <c r="C29" s="5" t="inlineStr">
        <is>
          <t>Product Analyst</t>
        </is>
      </c>
      <c r="D29" s="5" t="inlineStr">
        <is>
          <t>Delhi</t>
        </is>
      </c>
      <c r="E29" s="6" t="n">
        <v>3</v>
      </c>
      <c r="F29" s="5" t="inlineStr">
        <is>
          <t>Full-time</t>
        </is>
      </c>
      <c r="G29" s="5" t="inlineStr">
        <is>
          <t>Male</t>
        </is>
      </c>
      <c r="H29" s="5" t="inlineStr">
        <is>
          <t>18-09-2023</t>
        </is>
      </c>
      <c r="I29" s="7" t="n">
        <v>76000</v>
      </c>
    </row>
    <row r="30">
      <c r="A30" s="2" t="inlineStr">
        <is>
          <t>Cara Mendes</t>
        </is>
      </c>
      <c r="B30" s="2" t="inlineStr">
        <is>
          <t>Design</t>
        </is>
      </c>
      <c r="C30" s="2" t="inlineStr">
        <is>
          <t>UX Researcher</t>
        </is>
      </c>
      <c r="D30" s="2" t="inlineStr">
        <is>
          <t>Bangalore</t>
        </is>
      </c>
      <c r="E30" s="3" t="n">
        <v>6</v>
      </c>
      <c r="F30" s="2" t="inlineStr">
        <is>
          <t>Full-time</t>
        </is>
      </c>
      <c r="G30" s="2" t="inlineStr">
        <is>
          <t>Female</t>
        </is>
      </c>
      <c r="H30" s="2" t="inlineStr">
        <is>
          <t>30-04-2021</t>
        </is>
      </c>
      <c r="I30" s="4" t="n">
        <v>98000</v>
      </c>
    </row>
    <row r="31">
      <c r="A31" s="5" t="inlineStr">
        <is>
          <t>Dev Malhotra</t>
        </is>
      </c>
      <c r="B31" s="5" t="inlineStr">
        <is>
          <t>Sales</t>
        </is>
      </c>
      <c r="C31" s="5" t="inlineStr">
        <is>
          <t>Account Executive</t>
        </is>
      </c>
      <c r="D31" s="5" t="inlineStr">
        <is>
          <t>Pune</t>
        </is>
      </c>
      <c r="E31" s="6" t="n">
        <v>4</v>
      </c>
      <c r="F31" s="5" t="inlineStr">
        <is>
          <t>Full-time</t>
        </is>
      </c>
      <c r="G31" s="5" t="inlineStr">
        <is>
          <t>Male</t>
        </is>
      </c>
      <c r="H31" s="5" t="inlineStr">
        <is>
          <t>12-11-2022</t>
        </is>
      </c>
      <c r="I31" s="7" t="n">
        <v>82000</v>
      </c>
    </row>
    <row r="32">
      <c r="A32" s="2" t="inlineStr">
        <is>
          <t>Elena Rossi</t>
        </is>
      </c>
      <c r="B32" s="2" t="inlineStr">
        <is>
          <t>Engineering</t>
        </is>
      </c>
      <c r="C32" s="2" t="inlineStr">
        <is>
          <t>Staff Engineer</t>
        </is>
      </c>
      <c r="D32" s="2" t="inlineStr">
        <is>
          <t>Remote</t>
        </is>
      </c>
      <c r="E32" s="3" t="n">
        <v>11</v>
      </c>
      <c r="F32" s="2" t="inlineStr">
        <is>
          <t>Full-time</t>
        </is>
      </c>
      <c r="G32" s="2" t="inlineStr">
        <is>
          <t>Female</t>
        </is>
      </c>
      <c r="H32" s="2" t="inlineStr">
        <is>
          <t>24-02-2019</t>
        </is>
      </c>
      <c r="I32" s="4" t="n">
        <v>158000</v>
      </c>
    </row>
    <row r="33">
      <c r="A33" s="5" t="inlineStr">
        <is>
          <t>Faisal Rahman</t>
        </is>
      </c>
      <c r="B33" s="5" t="inlineStr">
        <is>
          <t>Operations</t>
        </is>
      </c>
      <c r="C33" s="5" t="inlineStr">
        <is>
          <t>Ops Lead</t>
        </is>
      </c>
      <c r="D33" s="5" t="inlineStr">
        <is>
          <t>Mumbai</t>
        </is>
      </c>
      <c r="E33" s="6" t="n">
        <v>7</v>
      </c>
      <c r="F33" s="5" t="inlineStr">
        <is>
          <t>Full-time</t>
        </is>
      </c>
      <c r="G33" s="5" t="inlineStr">
        <is>
          <t>Male</t>
        </is>
      </c>
      <c r="H33" s="5" t="inlineStr">
        <is>
          <t>06-07-2020</t>
        </is>
      </c>
      <c r="I33" s="7" t="n">
        <v>100000</v>
      </c>
    </row>
    <row r="34">
      <c r="A34" s="2" t="inlineStr">
        <is>
          <t>Gita Sharma</t>
        </is>
      </c>
      <c r="B34" s="2" t="inlineStr">
        <is>
          <t>Marketing</t>
        </is>
      </c>
      <c r="C34" s="2" t="inlineStr">
        <is>
          <t>SEO Specialist</t>
        </is>
      </c>
      <c r="D34" s="2" t="inlineStr">
        <is>
          <t>Delhi</t>
        </is>
      </c>
      <c r="E34" s="3" t="n">
        <v>3</v>
      </c>
      <c r="F34" s="2" t="inlineStr">
        <is>
          <t>Part-time</t>
        </is>
      </c>
      <c r="G34" s="2" t="inlineStr">
        <is>
          <t>Female</t>
        </is>
      </c>
      <c r="H34" s="2" t="inlineStr">
        <is>
          <t>19-10-2023</t>
        </is>
      </c>
      <c r="I34" s="4" t="n">
        <v>50000</v>
      </c>
    </row>
    <row r="35">
      <c r="A35" s="5" t="inlineStr">
        <is>
          <t>Hugo Martin</t>
        </is>
      </c>
      <c r="B35" s="5" t="inlineStr">
        <is>
          <t>Engineering</t>
        </is>
      </c>
      <c r="C35" s="5" t="inlineStr">
        <is>
          <t>Frontend Engineer</t>
        </is>
      </c>
      <c r="D35" s="5" t="inlineStr">
        <is>
          <t>Bangalore</t>
        </is>
      </c>
      <c r="E35" s="6" t="n">
        <v>2</v>
      </c>
      <c r="F35" s="5" t="inlineStr">
        <is>
          <t>Full-time</t>
        </is>
      </c>
      <c r="G35" s="5" t="inlineStr">
        <is>
          <t>Male</t>
        </is>
      </c>
      <c r="H35" s="5" t="inlineStr">
        <is>
          <t>01-02-2024</t>
        </is>
      </c>
      <c r="I35" s="7" t="n">
        <v>78000</v>
      </c>
    </row>
    <row r="36">
      <c r="A36" s="2" t="inlineStr">
        <is>
          <t>Isla Fraser</t>
        </is>
      </c>
      <c r="B36" s="2" t="inlineStr">
        <is>
          <t>Product</t>
        </is>
      </c>
      <c r="C36" s="2" t="inlineStr">
        <is>
          <t>Senior PM</t>
        </is>
      </c>
      <c r="D36" s="2" t="inlineStr">
        <is>
          <t>Remote</t>
        </is>
      </c>
      <c r="E36" s="3" t="n">
        <v>8</v>
      </c>
      <c r="F36" s="2" t="inlineStr">
        <is>
          <t>Full-time</t>
        </is>
      </c>
      <c r="G36" s="2" t="inlineStr">
        <is>
          <t>Female</t>
        </is>
      </c>
      <c r="H36" s="2" t="inlineStr">
        <is>
          <t>14-05-2020</t>
        </is>
      </c>
      <c r="I36" s="4" t="n">
        <v>138000</v>
      </c>
    </row>
    <row r="37">
      <c r="A37" s="5" t="inlineStr">
        <is>
          <t>Jamal Idris</t>
        </is>
      </c>
      <c r="B37" s="5" t="inlineStr">
        <is>
          <t>Design</t>
        </is>
      </c>
      <c r="C37" s="5" t="inlineStr">
        <is>
          <t>Product Designer</t>
        </is>
      </c>
      <c r="D37" s="5" t="inlineStr">
        <is>
          <t>Pune</t>
        </is>
      </c>
      <c r="E37" s="6" t="n">
        <v>5</v>
      </c>
      <c r="F37" s="5" t="inlineStr">
        <is>
          <t>Contract</t>
        </is>
      </c>
      <c r="G37" s="5" t="inlineStr">
        <is>
          <t>Male</t>
        </is>
      </c>
      <c r="H37" s="5" t="inlineStr">
        <is>
          <t>27-08-2022</t>
        </is>
      </c>
      <c r="I37" s="7" t="n">
        <v>84000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38" customHeight="1">
      <c r="B2" s="8" t="inlineStr">
        <is>
          <t>People &amp; Compensation Dashboard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>
      <c r="B3" s="10" t="inlineStr">
        <is>
          <t>Sample data - overwrite the Data sheet and every tile below recalculates automatically</t>
        </is>
      </c>
    </row>
    <row r="5" ht="20" customHeight="1">
      <c r="B5" s="11" t="inlineStr">
        <is>
          <t>HEADCOUNT</t>
        </is>
      </c>
      <c r="C5" s="12" t="n"/>
      <c r="D5" s="11" t="inlineStr">
        <is>
          <t>AVERAGE SALARY</t>
        </is>
      </c>
      <c r="E5" s="12" t="n"/>
      <c r="F5" s="11" t="inlineStr">
        <is>
          <t>HIGHEST SALARY</t>
        </is>
      </c>
      <c r="G5" s="12" t="n"/>
      <c r="H5" s="11" t="inlineStr">
        <is>
          <t>LOWEST SALARY</t>
        </is>
      </c>
      <c r="I5" s="12" t="n"/>
      <c r="J5" s="11" t="inlineStr">
        <is>
          <t>MEDIAN SALARY</t>
        </is>
      </c>
      <c r="K5" s="12" t="n"/>
    </row>
    <row r="6" ht="34" customHeight="1">
      <c r="B6" s="13">
        <f>COUNTA(DeptData)</f>
        <v/>
      </c>
      <c r="C6" s="14" t="n"/>
      <c r="D6" s="13">
        <f>IFERROR(AVERAGE(SalaryData),0)</f>
        <v/>
      </c>
      <c r="E6" s="14" t="n"/>
      <c r="F6" s="13">
        <f>IFERROR(MAX(SalaryData),0)</f>
        <v/>
      </c>
      <c r="G6" s="14" t="n"/>
      <c r="H6" s="13">
        <f>IFERROR(MIN(SalaryData),0)</f>
        <v/>
      </c>
      <c r="I6" s="14" t="n"/>
      <c r="J6" s="13">
        <f>IFERROR(MEDIAN(SalaryData),0)</f>
        <v/>
      </c>
      <c r="K6" s="14" t="n"/>
    </row>
    <row r="9">
      <c r="B9" s="15" t="inlineStr">
        <is>
          <t>Average Salary by Department</t>
        </is>
      </c>
      <c r="F9" s="15" t="inlineStr">
        <is>
          <t>Salary by Experience Band</t>
        </is>
      </c>
    </row>
    <row r="10">
      <c r="B10" s="16" t="inlineStr">
        <is>
          <t>Department</t>
        </is>
      </c>
      <c r="C10" s="16" t="inlineStr">
        <is>
          <t>Headcount</t>
        </is>
      </c>
      <c r="D10" s="16" t="inlineStr">
        <is>
          <t>Avg Salary</t>
        </is>
      </c>
      <c r="F10" s="16" t="inlineStr">
        <is>
          <t>Experience</t>
        </is>
      </c>
      <c r="G10" s="16" t="inlineStr">
        <is>
          <t>Headcount</t>
        </is>
      </c>
      <c r="H10" s="16" t="inlineStr">
        <is>
          <t>Avg Salary</t>
        </is>
      </c>
    </row>
    <row r="11">
      <c r="B11" s="17" t="inlineStr">
        <is>
          <t>Engineering</t>
        </is>
      </c>
      <c r="C11" s="18">
        <f>COUNTIF(DeptData,B11)</f>
        <v/>
      </c>
      <c r="D11" s="19">
        <f>IFERROR(ROUND(AVERAGEIF(DeptData,B11,SalaryData),0),0)</f>
        <v/>
      </c>
      <c r="F11" s="17" t="inlineStr">
        <is>
          <t>0-2 yrs</t>
        </is>
      </c>
      <c r="G11" s="18">
        <f>COUNTIFS(ExpData,"&lt;=2")</f>
        <v/>
      </c>
      <c r="H11" s="19">
        <f>IFERROR(ROUND(AVERAGEIFS(SalaryData,ExpData,"&lt;=2"),0),0)</f>
        <v/>
      </c>
    </row>
    <row r="12">
      <c r="B12" s="20" t="inlineStr">
        <is>
          <t>Product</t>
        </is>
      </c>
      <c r="C12" s="21">
        <f>COUNTIF(DeptData,B12)</f>
        <v/>
      </c>
      <c r="D12" s="22">
        <f>IFERROR(ROUND(AVERAGEIF(DeptData,B12,SalaryData),0),0)</f>
        <v/>
      </c>
      <c r="F12" s="20" t="inlineStr">
        <is>
          <t>3-5 yrs</t>
        </is>
      </c>
      <c r="G12" s="21">
        <f>COUNTIFS(ExpData,"&gt;=3",ExpData,"&lt;=5")</f>
        <v/>
      </c>
      <c r="H12" s="22">
        <f>IFERROR(ROUND(AVERAGEIFS(SalaryData,ExpData,"&gt;=3",ExpData,"&lt;=5"),0),0)</f>
        <v/>
      </c>
    </row>
    <row r="13">
      <c r="B13" s="17" t="inlineStr">
        <is>
          <t>Sales</t>
        </is>
      </c>
      <c r="C13" s="18">
        <f>COUNTIF(DeptData,B13)</f>
        <v/>
      </c>
      <c r="D13" s="19">
        <f>IFERROR(ROUND(AVERAGEIF(DeptData,B13,SalaryData),0),0)</f>
        <v/>
      </c>
      <c r="F13" s="17" t="inlineStr">
        <is>
          <t>6-9 yrs</t>
        </is>
      </c>
      <c r="G13" s="18">
        <f>COUNTIFS(ExpData,"&gt;=6",ExpData,"&lt;=9")</f>
        <v/>
      </c>
      <c r="H13" s="19">
        <f>IFERROR(ROUND(AVERAGEIFS(SalaryData,ExpData,"&gt;=6",ExpData,"&lt;=9"),0),0)</f>
        <v/>
      </c>
    </row>
    <row r="14">
      <c r="B14" s="20" t="inlineStr">
        <is>
          <t>Marketing</t>
        </is>
      </c>
      <c r="C14" s="21">
        <f>COUNTIF(DeptData,B14)</f>
        <v/>
      </c>
      <c r="D14" s="22">
        <f>IFERROR(ROUND(AVERAGEIF(DeptData,B14,SalaryData),0),0)</f>
        <v/>
      </c>
      <c r="F14" s="20" t="inlineStr">
        <is>
          <t>10+ yrs</t>
        </is>
      </c>
      <c r="G14" s="21">
        <f>COUNTIFS(ExpData,"&gt;=10")</f>
        <v/>
      </c>
      <c r="H14" s="22">
        <f>IFERROR(ROUND(AVERAGEIFS(SalaryData,ExpData,"&gt;=10"),0),0)</f>
        <v/>
      </c>
    </row>
    <row r="15">
      <c r="B15" s="17" t="inlineStr">
        <is>
          <t>Design</t>
        </is>
      </c>
      <c r="C15" s="18">
        <f>COUNTIF(DeptData,B15)</f>
        <v/>
      </c>
      <c r="D15" s="19">
        <f>IFERROR(ROUND(AVERAGEIF(DeptData,B15,SalaryData),0),0)</f>
        <v/>
      </c>
    </row>
    <row r="16">
      <c r="B16" s="20" t="inlineStr">
        <is>
          <t>Operations</t>
        </is>
      </c>
      <c r="C16" s="21">
        <f>COUNTIF(DeptData,B16)</f>
        <v/>
      </c>
      <c r="D16" s="22">
        <f>IFERROR(ROUND(AVERAGEIF(DeptData,B16,SalaryData),0),0)</f>
        <v/>
      </c>
    </row>
    <row r="17">
      <c r="F17" s="15" t="inlineStr">
        <is>
          <t>Gender Split</t>
        </is>
      </c>
      <c r="I17" s="15" t="inlineStr">
        <is>
          <t>Employment Type</t>
        </is>
      </c>
    </row>
    <row r="18">
      <c r="F18" s="16" t="inlineStr">
        <is>
          <t>Gender</t>
        </is>
      </c>
      <c r="G18" s="16" t="inlineStr">
        <is>
          <t>Headcount</t>
        </is>
      </c>
      <c r="I18" s="16" t="inlineStr">
        <is>
          <t>Type</t>
        </is>
      </c>
      <c r="J18" s="16" t="inlineStr">
        <is>
          <t>Headcount</t>
        </is>
      </c>
    </row>
    <row r="19">
      <c r="B19" s="15" t="inlineStr">
        <is>
          <t>Headcount by Location</t>
        </is>
      </c>
      <c r="F19" s="17" t="inlineStr">
        <is>
          <t>Female</t>
        </is>
      </c>
      <c r="G19" s="18">
        <f>COUNTIF(GenderData,F19)</f>
        <v/>
      </c>
      <c r="I19" s="17" t="inlineStr">
        <is>
          <t>Full-time</t>
        </is>
      </c>
      <c r="J19" s="18">
        <f>COUNTIF(EmpData,I19)</f>
        <v/>
      </c>
    </row>
    <row r="20">
      <c r="B20" s="16" t="inlineStr">
        <is>
          <t>Location</t>
        </is>
      </c>
      <c r="C20" s="16" t="inlineStr">
        <is>
          <t>Headcount</t>
        </is>
      </c>
      <c r="D20" s="16" t="inlineStr">
        <is>
          <t>Avg Salary</t>
        </is>
      </c>
      <c r="F20" s="20" t="inlineStr">
        <is>
          <t>Male</t>
        </is>
      </c>
      <c r="G20" s="21">
        <f>COUNTIF(GenderData,F20)</f>
        <v/>
      </c>
      <c r="I20" s="20" t="inlineStr">
        <is>
          <t>Contract</t>
        </is>
      </c>
      <c r="J20" s="21">
        <f>COUNTIF(EmpData,I20)</f>
        <v/>
      </c>
    </row>
    <row r="21">
      <c r="B21" s="17" t="inlineStr">
        <is>
          <t>Bangalore</t>
        </is>
      </c>
      <c r="C21" s="18">
        <f>COUNTIF(LocData,B21)</f>
        <v/>
      </c>
      <c r="D21" s="19">
        <f>IFERROR(ROUND(AVERAGEIF(LocData,B21,SalaryData),0),0)</f>
        <v/>
      </c>
      <c r="F21" s="17" t="inlineStr">
        <is>
          <t>Other</t>
        </is>
      </c>
      <c r="G21" s="18">
        <f>COUNTIF(GenderData,F21)</f>
        <v/>
      </c>
      <c r="I21" s="17" t="inlineStr">
        <is>
          <t>Part-time</t>
        </is>
      </c>
      <c r="J21" s="18">
        <f>COUNTIF(EmpData,I21)</f>
        <v/>
      </c>
    </row>
    <row r="22">
      <c r="B22" s="20" t="inlineStr">
        <is>
          <t>Mumbai</t>
        </is>
      </c>
      <c r="C22" s="21">
        <f>COUNTIF(LocData,B22)</f>
        <v/>
      </c>
      <c r="D22" s="22">
        <f>IFERROR(ROUND(AVERAGEIF(LocData,B22,SalaryData),0),0)</f>
        <v/>
      </c>
    </row>
    <row r="23">
      <c r="B23" s="17" t="inlineStr">
        <is>
          <t>Delhi</t>
        </is>
      </c>
      <c r="C23" s="18">
        <f>COUNTIF(LocData,B23)</f>
        <v/>
      </c>
      <c r="D23" s="19">
        <f>IFERROR(ROUND(AVERAGEIF(LocData,B23,SalaryData),0),0)</f>
        <v/>
      </c>
    </row>
    <row r="24">
      <c r="B24" s="20" t="inlineStr">
        <is>
          <t>Remote</t>
        </is>
      </c>
      <c r="C24" s="21">
        <f>COUNTIF(LocData,B24)</f>
        <v/>
      </c>
      <c r="D24" s="22">
        <f>IFERROR(ROUND(AVERAGEIF(LocData,B24,SalaryData),0),0)</f>
        <v/>
      </c>
    </row>
    <row r="25">
      <c r="B25" s="17" t="inlineStr">
        <is>
          <t>Pune</t>
        </is>
      </c>
      <c r="C25" s="18">
        <f>COUNTIF(LocData,B25)</f>
        <v/>
      </c>
      <c r="D25" s="19">
        <f>IFERROR(ROUND(AVERAGEIF(LocData,B25,SalaryData),0),0)</f>
        <v/>
      </c>
    </row>
  </sheetData>
  <mergeCells count="12">
    <mergeCell ref="D6:E6"/>
    <mergeCell ref="B6:C6"/>
    <mergeCell ref="H6:I6"/>
    <mergeCell ref="J5:K5"/>
    <mergeCell ref="J6:K6"/>
    <mergeCell ref="B5:C5"/>
    <mergeCell ref="F5:G5"/>
    <mergeCell ref="D5:E5"/>
    <mergeCell ref="F6:G6"/>
    <mergeCell ref="H5:I5"/>
    <mergeCell ref="B2:K2"/>
    <mergeCell ref="B3:K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2026-07-05T06:20:13Z</dcterms:created>
  <dcterms:modified xmlns:dcterms="http://purl.org/dc/terms/" xmlns:xsi="http://www.w3.org/2001/XMLSchema-instance" xsi:type="dcterms:W3CDTF">2026-07-05T06:20:13Z</dcterms:modified>
</cp:coreProperties>
</file>